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  <sheet name="Sheet2" sheetId="3" r:id="rId2"/>
    <sheet name="Sheet3" sheetId="4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<sst xmlns="http://schemas.openxmlformats.org/spreadsheetml/2006/main" count="104" uniqueCount="65">
  <si>
    <t>A</t>
  </si>
  <si>
    <t>A/cm2</t>
  </si>
  <si>
    <t>W</t>
  </si>
  <si>
    <t>V</t>
  </si>
  <si>
    <t>mΩ</t>
  </si>
  <si>
    <t>%</t>
  </si>
  <si>
    <t>℃</t>
  </si>
  <si>
    <t>kPa</t>
  </si>
  <si>
    <t>负载电流A</t>
  </si>
  <si>
    <t>负载电流密度</t>
  </si>
  <si>
    <t>负载回显功率</t>
  </si>
  <si>
    <t>负载回显电压</t>
  </si>
  <si>
    <t>BT3564电阻</t>
  </si>
  <si>
    <t>阳极计量比</t>
  </si>
  <si>
    <t>阳极进堆湿度</t>
  </si>
  <si>
    <t>阳极进堆温度</t>
  </si>
  <si>
    <t>阳极进堆压力</t>
  </si>
  <si>
    <t>阳极出堆压力</t>
  </si>
  <si>
    <t>阳极出堆温度</t>
  </si>
  <si>
    <t>阴极计量比</t>
  </si>
  <si>
    <t>阴极进堆湿度</t>
  </si>
  <si>
    <t>阴极进堆温度</t>
  </si>
  <si>
    <t>阴极进堆压力</t>
  </si>
  <si>
    <t>阴极出堆压力</t>
  </si>
  <si>
    <t>阴极出堆温度</t>
  </si>
  <si>
    <t>bar图统计数据 : 最大值</t>
  </si>
  <si>
    <t>bar图统计数据 : 最小值</t>
  </si>
  <si>
    <t>bar图统计数据 : 平均值</t>
  </si>
  <si>
    <t>阳极露点设定值</t>
  </si>
  <si>
    <t>阳极露点温度</t>
  </si>
  <si>
    <t>阳极加湿罐温度</t>
  </si>
  <si>
    <t>阳极加湿罐出口温度</t>
  </si>
  <si>
    <t>阳极加湿罐出口压力</t>
  </si>
  <si>
    <t>阴极露点设定值</t>
  </si>
  <si>
    <t>阴极露点温度</t>
  </si>
  <si>
    <t>阴极加湿罐出口温度</t>
  </si>
  <si>
    <t>阴极加湿罐出口压力</t>
  </si>
  <si>
    <t>阴极加湿罐水温</t>
  </si>
  <si>
    <t>l/min</t>
  </si>
  <si>
    <t>r/min</t>
  </si>
  <si>
    <t>us/cm</t>
  </si>
  <si>
    <t>水冷入堆温度设定值</t>
  </si>
  <si>
    <t>水冷进堆温度</t>
  </si>
  <si>
    <t>水冷出堆温度</t>
  </si>
  <si>
    <t>水冷入堆压力设置值</t>
  </si>
  <si>
    <t>水冷进堆压力</t>
  </si>
  <si>
    <t>水冷出堆压力</t>
  </si>
  <si>
    <t>水冷流量目标值</t>
  </si>
  <si>
    <t>水冷流量</t>
  </si>
  <si>
    <t>水冷循环泵运行转速</t>
  </si>
  <si>
    <t>水冷内循环电导率</t>
  </si>
  <si>
    <t>水冷温差控制目标值</t>
  </si>
  <si>
    <t>水冷水箱温度</t>
  </si>
  <si>
    <t>水冷板换出口温度</t>
  </si>
  <si>
    <t>阳极加热回路温度</t>
  </si>
  <si>
    <t>阴极加热回路温度</t>
  </si>
  <si>
    <t>nlpm</t>
  </si>
  <si>
    <t>阳极流量设定值</t>
  </si>
  <si>
    <t>阳极流量</t>
  </si>
  <si>
    <t>阴极流量设定值</t>
  </si>
  <si>
    <t>阴极流量</t>
  </si>
  <si>
    <t>阳极温度设定值</t>
  </si>
  <si>
    <t>阳极压力设定值</t>
  </si>
  <si>
    <t>阴极温度设定值</t>
  </si>
  <si>
    <t>阴极压力设定值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</si>
</sst>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pane xSplit="2" topLeftCell="C1" activePane="topRight" state="frozen"/>
      <selection/>
      <selection pane="topRight" activeCell="A4" sqref="A4"/>
    </sheetView>
  </sheetViews>
  <sheetFormatPr defaultColWidth="8.88888888888889" defaultRowHeight="14.4"/>
  <cols>
    <col min="1" max="1" width="16.4444444444444" customWidth="1"/>
    <col min="2" max="4" width="14.1111111111111" customWidth="1"/>
    <col min="5" max="5" width="11.8888888888889" customWidth="1"/>
    <col min="6" max="7" width="23.1111111111111" customWidth="1"/>
    <col min="8" max="9" width="20.8888888888889" customWidth="1"/>
    <col min="10" max="11" width="22" customWidth="1"/>
    <col min="12" max="13" width="23.1111111111111" customWidth="1"/>
    <col min="14" max="15" width="20.8888888888889" customWidth="1"/>
    <col min="16" max="17" width="22" customWidth="1"/>
    <col min="18" max="20" width="25.444444444444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7</v>
      </c>
      <c r="K1" t="s">
        <v>6</v>
      </c>
      <c r="M1" t="s">
        <v>5</v>
      </c>
      <c r="N1" t="s">
        <v>6</v>
      </c>
      <c r="O1" t="s">
        <v>7</v>
      </c>
      <c r="P1" t="s">
        <v>7</v>
      </c>
      <c r="Q1" t="s">
        <v>6</v>
      </c>
      <c r="R1" t="s">
        <v>3</v>
      </c>
      <c r="S1" t="s">
        <v>3</v>
      </c>
      <c r="T1" t="s">
        <v>3</v>
      </c>
    </row>
    <row r="2" spans="1:20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</row>
    <row r="3" s="1" customFormat="1" spans="1:20">
      <c r="A3" s="1">
        <v>38</v>
      </c>
      <c r="B3" s="1">
        <f t="shared" ref="B3:B15" si="0">A3/380</f>
        <v>0.1</v>
      </c>
      <c r="C3" s="1">
        <v>487.219</v>
      </c>
      <c r="D3" s="1">
        <v>12.8265</v>
      </c>
      <c r="E3" s="1">
        <v>4.9</v>
      </c>
      <c r="F3" s="1">
        <v>5</v>
      </c>
      <c r="G3" s="1">
        <v>30</v>
      </c>
      <c r="H3" s="1">
        <v>58.2</v>
      </c>
      <c r="I3" s="1">
        <v>47.8</v>
      </c>
      <c r="J3" s="1">
        <v>43.4</v>
      </c>
      <c r="K3" s="1">
        <v>51.3</v>
      </c>
      <c r="L3" s="1">
        <v>5</v>
      </c>
      <c r="M3" s="1">
        <v>80</v>
      </c>
      <c r="N3" s="1">
        <v>58.9</v>
      </c>
      <c r="O3" s="1">
        <v>40</v>
      </c>
      <c r="P3" s="1">
        <v>32.5</v>
      </c>
      <c r="Q3" s="1">
        <v>56</v>
      </c>
      <c r="R3" s="1">
        <v>0.8098</v>
      </c>
      <c r="S3" s="1">
        <v>0.7934</v>
      </c>
      <c r="T3" s="1">
        <v>0.8025</v>
      </c>
    </row>
    <row r="4" s="2" customFormat="1" spans="1:20">
      <c r="A4" s="2">
        <v>76</v>
      </c>
      <c r="B4" s="1">
        <f t="shared" si="0"/>
        <v>0.2</v>
      </c>
      <c r="C4" s="2">
        <v>939.388</v>
      </c>
      <c r="D4" s="2">
        <v>12.3622</v>
      </c>
      <c r="E4" s="2">
        <v>4.9</v>
      </c>
      <c r="F4" s="2">
        <v>3</v>
      </c>
      <c r="G4" s="2">
        <v>30</v>
      </c>
      <c r="H4" s="2">
        <v>60.3</v>
      </c>
      <c r="I4" s="2">
        <v>66.7</v>
      </c>
      <c r="J4" s="2">
        <v>60.9</v>
      </c>
      <c r="K4" s="2">
        <v>56.9</v>
      </c>
      <c r="L4" s="2">
        <v>3.6</v>
      </c>
      <c r="M4" s="2">
        <v>60</v>
      </c>
      <c r="N4" s="2">
        <v>61.2</v>
      </c>
      <c r="O4" s="2">
        <v>54.9</v>
      </c>
      <c r="P4" s="2">
        <v>44.6</v>
      </c>
      <c r="Q4" s="2">
        <v>62.3</v>
      </c>
      <c r="R4" s="2">
        <v>0.7828</v>
      </c>
      <c r="S4" s="2">
        <v>0.7613</v>
      </c>
      <c r="T4" s="2">
        <v>0.7739</v>
      </c>
    </row>
    <row r="5" s="1" customFormat="1" spans="1:20">
      <c r="A5" s="1">
        <v>114</v>
      </c>
      <c r="B5" s="1">
        <f t="shared" si="0"/>
        <v>0.3</v>
      </c>
      <c r="C5" s="1">
        <v>1368.722</v>
      </c>
      <c r="D5" s="1">
        <v>12.0071</v>
      </c>
      <c r="E5" s="1">
        <v>4.9</v>
      </c>
      <c r="F5" s="1">
        <v>2.7</v>
      </c>
      <c r="G5" s="1">
        <v>30</v>
      </c>
      <c r="H5" s="1">
        <v>61.4</v>
      </c>
      <c r="I5" s="1">
        <v>80</v>
      </c>
      <c r="J5" s="1">
        <v>73.5</v>
      </c>
      <c r="K5" s="1">
        <v>59.5</v>
      </c>
      <c r="L5" s="1">
        <v>3</v>
      </c>
      <c r="M5" s="1">
        <v>60</v>
      </c>
      <c r="N5" s="1">
        <v>62.3</v>
      </c>
      <c r="O5" s="1">
        <v>60</v>
      </c>
      <c r="P5" s="1">
        <v>46.1</v>
      </c>
      <c r="Q5" s="1">
        <v>64.4</v>
      </c>
      <c r="R5" s="1">
        <v>0.7629</v>
      </c>
      <c r="S5" s="1">
        <v>0.7381</v>
      </c>
      <c r="T5" s="1">
        <v>0.7525</v>
      </c>
    </row>
    <row r="6" s="2" customFormat="1" spans="1:20">
      <c r="A6" s="2">
        <v>152</v>
      </c>
      <c r="B6" s="1">
        <f t="shared" si="0"/>
        <v>0.4</v>
      </c>
      <c r="C6" s="2">
        <v>1784.551</v>
      </c>
      <c r="D6" s="2">
        <v>11.7415</v>
      </c>
      <c r="E6" s="2">
        <v>4.9</v>
      </c>
      <c r="F6" s="2">
        <v>2.5</v>
      </c>
      <c r="G6" s="2">
        <v>30</v>
      </c>
      <c r="H6" s="2">
        <v>64.1</v>
      </c>
      <c r="I6" s="2">
        <v>90.1</v>
      </c>
      <c r="J6" s="2">
        <v>82.7</v>
      </c>
      <c r="K6" s="2">
        <v>62.6</v>
      </c>
      <c r="L6" s="2">
        <v>2.4</v>
      </c>
      <c r="M6" s="2">
        <v>60</v>
      </c>
      <c r="N6" s="2">
        <v>63.8</v>
      </c>
      <c r="O6" s="2">
        <v>70.1</v>
      </c>
      <c r="P6" s="2">
        <v>56.2</v>
      </c>
      <c r="Q6" s="2">
        <v>67.5</v>
      </c>
      <c r="R6" s="2">
        <v>0.7482</v>
      </c>
      <c r="S6" s="2">
        <v>0.7202</v>
      </c>
      <c r="T6" s="2">
        <v>0.7365</v>
      </c>
    </row>
    <row r="7" s="1" customFormat="1" spans="1:20">
      <c r="A7" s="1">
        <v>228</v>
      </c>
      <c r="B7" s="1">
        <f t="shared" si="0"/>
        <v>0.6</v>
      </c>
      <c r="C7" s="1">
        <v>2590.7939</v>
      </c>
      <c r="D7" s="1">
        <v>11.3638</v>
      </c>
      <c r="E7" s="1">
        <v>4.8</v>
      </c>
      <c r="F7" s="1">
        <v>2.1</v>
      </c>
      <c r="G7" s="1">
        <v>30</v>
      </c>
      <c r="H7" s="1">
        <v>69.9</v>
      </c>
      <c r="I7" s="1">
        <v>109.6</v>
      </c>
      <c r="J7" s="1">
        <v>103.2</v>
      </c>
      <c r="K7" s="1">
        <v>66.2</v>
      </c>
      <c r="L7" s="1">
        <v>2</v>
      </c>
      <c r="M7" s="1">
        <v>60</v>
      </c>
      <c r="N7" s="1">
        <v>68.6</v>
      </c>
      <c r="O7" s="1">
        <v>90</v>
      </c>
      <c r="P7" s="1">
        <v>73.5</v>
      </c>
      <c r="Q7" s="1">
        <v>73.7</v>
      </c>
      <c r="R7" s="1">
        <v>0.7283</v>
      </c>
      <c r="S7" s="1">
        <v>0.6961</v>
      </c>
      <c r="T7" s="1">
        <v>0.7147</v>
      </c>
    </row>
    <row r="8" s="2" customFormat="1" spans="1:20">
      <c r="A8" s="2">
        <v>266</v>
      </c>
      <c r="B8" s="1">
        <f t="shared" si="0"/>
        <v>0.7</v>
      </c>
      <c r="C8" s="2">
        <v>2984.064</v>
      </c>
      <c r="D8" s="2">
        <v>11.2188</v>
      </c>
      <c r="E8" s="2">
        <v>4.8</v>
      </c>
      <c r="F8" s="2">
        <v>1.7</v>
      </c>
      <c r="G8" s="2">
        <v>30</v>
      </c>
      <c r="H8" s="2">
        <v>73.6</v>
      </c>
      <c r="I8" s="2">
        <v>121</v>
      </c>
      <c r="J8" s="2">
        <v>114.2</v>
      </c>
      <c r="K8" s="2">
        <v>69</v>
      </c>
      <c r="L8" s="2">
        <v>1.9</v>
      </c>
      <c r="M8" s="2">
        <v>60</v>
      </c>
      <c r="N8" s="2">
        <v>72.2</v>
      </c>
      <c r="O8" s="2">
        <v>100</v>
      </c>
      <c r="P8" s="2">
        <v>82</v>
      </c>
      <c r="Q8" s="2">
        <v>77.1</v>
      </c>
      <c r="R8" s="2">
        <v>0.7205</v>
      </c>
      <c r="S8" s="2">
        <v>0.6872</v>
      </c>
      <c r="T8" s="2">
        <v>0.7064</v>
      </c>
    </row>
    <row r="9" s="1" customFormat="1" spans="1:20">
      <c r="A9" s="1">
        <v>342</v>
      </c>
      <c r="B9" s="1">
        <f t="shared" si="0"/>
        <v>0.9</v>
      </c>
      <c r="C9" s="1">
        <v>3735.2061</v>
      </c>
      <c r="D9" s="1">
        <v>10.9221</v>
      </c>
      <c r="E9" s="1">
        <v>4.8</v>
      </c>
      <c r="F9" s="1">
        <v>1.5</v>
      </c>
      <c r="G9" s="1">
        <v>30</v>
      </c>
      <c r="H9" s="1">
        <v>75.6</v>
      </c>
      <c r="I9" s="1">
        <v>139.4</v>
      </c>
      <c r="J9" s="1">
        <v>132.9</v>
      </c>
      <c r="K9" s="1">
        <v>70.4</v>
      </c>
      <c r="L9" s="1">
        <v>1.8</v>
      </c>
      <c r="M9" s="1">
        <v>60</v>
      </c>
      <c r="N9" s="1">
        <v>74.2</v>
      </c>
      <c r="O9" s="1">
        <v>120</v>
      </c>
      <c r="P9" s="1">
        <v>98.9</v>
      </c>
      <c r="Q9" s="1">
        <v>80.5</v>
      </c>
      <c r="R9" s="1">
        <v>0.7044</v>
      </c>
      <c r="S9" s="1">
        <v>0.6695</v>
      </c>
      <c r="T9" s="1">
        <v>0.6896</v>
      </c>
    </row>
    <row r="10" s="2" customFormat="1" spans="1:20">
      <c r="A10" s="2">
        <v>418</v>
      </c>
      <c r="B10" s="1">
        <f t="shared" si="0"/>
        <v>1.1</v>
      </c>
      <c r="C10" s="2">
        <v>4454.2861</v>
      </c>
      <c r="D10" s="2">
        <v>10.6566</v>
      </c>
      <c r="E10" s="2">
        <v>4.8</v>
      </c>
      <c r="F10" s="2">
        <v>1.5</v>
      </c>
      <c r="G10" s="2">
        <v>30</v>
      </c>
      <c r="H10" s="2">
        <v>75.6</v>
      </c>
      <c r="I10" s="2">
        <v>159.9</v>
      </c>
      <c r="J10" s="2">
        <v>152.9</v>
      </c>
      <c r="K10" s="2">
        <v>71.2</v>
      </c>
      <c r="L10" s="2">
        <v>1.8</v>
      </c>
      <c r="M10" s="2">
        <v>60</v>
      </c>
      <c r="N10" s="2">
        <v>74.5</v>
      </c>
      <c r="O10" s="2">
        <v>140</v>
      </c>
      <c r="P10" s="2">
        <v>114.9</v>
      </c>
      <c r="Q10" s="2">
        <v>81.8</v>
      </c>
      <c r="R10" s="2">
        <v>0.6902</v>
      </c>
      <c r="S10" s="2">
        <v>0.6545</v>
      </c>
      <c r="T10" s="2">
        <v>0.6746</v>
      </c>
    </row>
    <row r="11" s="1" customFormat="1" spans="1:20">
      <c r="A11" s="1">
        <v>494</v>
      </c>
      <c r="B11" s="1">
        <f t="shared" si="0"/>
        <v>1.3</v>
      </c>
      <c r="C11" s="1">
        <v>5112.814</v>
      </c>
      <c r="D11" s="1">
        <v>10.35</v>
      </c>
      <c r="E11" s="1">
        <v>4.9</v>
      </c>
      <c r="F11" s="1">
        <v>1.5</v>
      </c>
      <c r="G11" s="1">
        <v>30</v>
      </c>
      <c r="H11" s="1">
        <v>75.2</v>
      </c>
      <c r="I11" s="1">
        <v>169.9</v>
      </c>
      <c r="J11" s="1">
        <v>162.6</v>
      </c>
      <c r="K11" s="1">
        <v>72.2</v>
      </c>
      <c r="L11" s="1">
        <v>1.8</v>
      </c>
      <c r="M11" s="1">
        <v>50</v>
      </c>
      <c r="N11" s="1">
        <v>74.3</v>
      </c>
      <c r="O11" s="1">
        <v>150</v>
      </c>
      <c r="P11" s="1">
        <v>119.9</v>
      </c>
      <c r="Q11" s="1">
        <v>82.6</v>
      </c>
      <c r="R11" s="1">
        <v>0.675</v>
      </c>
      <c r="S11" s="1">
        <v>0.6352</v>
      </c>
      <c r="T11" s="1">
        <v>0.6572</v>
      </c>
    </row>
    <row r="12" s="2" customFormat="1" spans="1:20">
      <c r="A12" s="2">
        <v>570</v>
      </c>
      <c r="B12" s="1">
        <f t="shared" si="0"/>
        <v>1.5</v>
      </c>
      <c r="C12" s="2">
        <v>5690.5889</v>
      </c>
      <c r="D12" s="2">
        <v>9.9837</v>
      </c>
      <c r="E12" s="2">
        <v>4.9</v>
      </c>
      <c r="F12" s="2">
        <v>1.5</v>
      </c>
      <c r="G12" s="2">
        <v>30</v>
      </c>
      <c r="H12" s="2">
        <v>74.6</v>
      </c>
      <c r="I12" s="2">
        <v>170.2</v>
      </c>
      <c r="J12" s="2">
        <v>161.8</v>
      </c>
      <c r="K12" s="2">
        <v>72.9</v>
      </c>
      <c r="L12" s="2">
        <v>1.8</v>
      </c>
      <c r="M12" s="2">
        <v>45</v>
      </c>
      <c r="N12" s="2">
        <v>75.1</v>
      </c>
      <c r="O12" s="2">
        <v>149.9</v>
      </c>
      <c r="P12" s="2">
        <v>112.5</v>
      </c>
      <c r="Q12" s="2">
        <v>83.1</v>
      </c>
      <c r="R12" s="2">
        <v>0.6573</v>
      </c>
      <c r="S12" s="2">
        <v>0.6124</v>
      </c>
      <c r="T12" s="2">
        <v>0.636</v>
      </c>
    </row>
    <row r="13" s="1" customFormat="1" spans="1:20">
      <c r="A13" s="1">
        <v>646</v>
      </c>
      <c r="B13" s="1">
        <f t="shared" si="0"/>
        <v>1.7</v>
      </c>
      <c r="C13" s="1">
        <v>6221.71</v>
      </c>
      <c r="D13" s="1">
        <v>9.6312</v>
      </c>
      <c r="E13" s="1">
        <v>4.9</v>
      </c>
      <c r="F13" s="1">
        <v>1.5</v>
      </c>
      <c r="G13" s="1">
        <v>30</v>
      </c>
      <c r="H13" s="1">
        <v>75.1</v>
      </c>
      <c r="I13" s="1">
        <v>170.1</v>
      </c>
      <c r="J13" s="1">
        <v>161</v>
      </c>
      <c r="K13" s="1">
        <v>73.4</v>
      </c>
      <c r="L13" s="1">
        <v>1.8</v>
      </c>
      <c r="M13" s="1">
        <v>40</v>
      </c>
      <c r="N13" s="1">
        <v>75.1</v>
      </c>
      <c r="O13" s="1">
        <v>150.1</v>
      </c>
      <c r="P13" s="1">
        <v>104.4</v>
      </c>
      <c r="Q13" s="1">
        <v>83</v>
      </c>
      <c r="R13" s="1">
        <v>0.641</v>
      </c>
      <c r="S13" s="1">
        <v>0.5907</v>
      </c>
      <c r="T13" s="1">
        <v>0.6157</v>
      </c>
    </row>
    <row r="14" s="2" customFormat="1" spans="1:20">
      <c r="A14" s="2">
        <v>684</v>
      </c>
      <c r="B14" s="1">
        <f t="shared" si="0"/>
        <v>1.8</v>
      </c>
      <c r="C14" s="2">
        <v>6458.9629</v>
      </c>
      <c r="D14" s="2">
        <v>9.4429</v>
      </c>
      <c r="E14" s="2">
        <v>4.9</v>
      </c>
      <c r="F14" s="2">
        <v>1.5</v>
      </c>
      <c r="G14" s="2">
        <v>30</v>
      </c>
      <c r="H14" s="2">
        <v>75.3</v>
      </c>
      <c r="I14" s="2">
        <v>170.1</v>
      </c>
      <c r="J14" s="2">
        <v>160.8</v>
      </c>
      <c r="K14" s="2">
        <v>73.5</v>
      </c>
      <c r="L14" s="2">
        <v>1.8</v>
      </c>
      <c r="M14" s="2">
        <v>40</v>
      </c>
      <c r="N14" s="2">
        <v>75.3</v>
      </c>
      <c r="O14" s="2">
        <v>149.9</v>
      </c>
      <c r="P14" s="2">
        <v>99.9</v>
      </c>
      <c r="Q14" s="2">
        <v>83.2</v>
      </c>
      <c r="R14" s="2">
        <v>0.6323</v>
      </c>
      <c r="S14" s="2">
        <v>0.5786</v>
      </c>
      <c r="T14" s="2">
        <v>0.6048</v>
      </c>
    </row>
    <row r="15" s="1" customFormat="1" spans="1:20">
      <c r="A15" s="1">
        <v>722</v>
      </c>
      <c r="B15" s="1">
        <f t="shared" si="0"/>
        <v>1.9</v>
      </c>
      <c r="C15" s="1">
        <v>6686.895</v>
      </c>
      <c r="D15" s="1">
        <v>9.2617</v>
      </c>
      <c r="E15" s="1">
        <v>4.9</v>
      </c>
      <c r="F15" s="1">
        <v>1.5</v>
      </c>
      <c r="G15" s="1">
        <v>30</v>
      </c>
      <c r="H15" s="1">
        <v>75.2</v>
      </c>
      <c r="I15" s="1">
        <v>169.8</v>
      </c>
      <c r="J15" s="1">
        <v>160.2</v>
      </c>
      <c r="K15" s="1">
        <v>73.5</v>
      </c>
      <c r="L15" s="1">
        <v>1.8</v>
      </c>
      <c r="M15" s="1">
        <v>40</v>
      </c>
      <c r="N15" s="1">
        <v>75.6</v>
      </c>
      <c r="O15" s="1">
        <v>150</v>
      </c>
      <c r="P15" s="1">
        <v>94.7</v>
      </c>
      <c r="Q15" s="1">
        <v>83.4</v>
      </c>
      <c r="R15" s="1">
        <v>0.6241</v>
      </c>
      <c r="S15" s="1">
        <v>0.5671</v>
      </c>
      <c r="T15" s="1">
        <v>0.5945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$A1:$XFD1"/>
    </sheetView>
  </sheetViews>
  <sheetFormatPr defaultColWidth="8.88888888888889" defaultRowHeight="14.4"/>
  <cols>
    <col min="1" max="1" width="16.4444444444444" customWidth="1"/>
    <col min="2" max="2" width="14.1111111111111" customWidth="1"/>
    <col min="3" max="5" width="20.8888888888889" customWidth="1"/>
    <col min="6" max="6" width="16.4444444444444" customWidth="1"/>
    <col min="7" max="7" width="14.1111111111111" customWidth="1"/>
    <col min="8" max="10" width="20.8888888888889" customWidth="1"/>
  </cols>
  <sheetData>
    <row r="1" spans="1:10">
      <c r="A1" t="s">
        <v>6</v>
      </c>
      <c r="B1" t="s">
        <v>6</v>
      </c>
      <c r="C1" t="s">
        <v>6</v>
      </c>
      <c r="D1" t="s">
        <v>6</v>
      </c>
      <c r="E1" t="s">
        <v>7</v>
      </c>
      <c r="F1" t="s">
        <v>6</v>
      </c>
      <c r="G1" t="s">
        <v>6</v>
      </c>
      <c r="H1" t="s">
        <v>6</v>
      </c>
      <c r="I1" t="s">
        <v>7</v>
      </c>
      <c r="J1" t="s">
        <v>6</v>
      </c>
    </row>
    <row r="2" spans="1:10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1:10">
      <c r="A3" s="1">
        <v>36.1</v>
      </c>
      <c r="B3" s="1">
        <v>36.4</v>
      </c>
      <c r="C3" s="1">
        <v>36.4</v>
      </c>
      <c r="D3" s="1">
        <v>37.1</v>
      </c>
      <c r="E3" s="1">
        <v>48</v>
      </c>
      <c r="F3" s="1">
        <v>55.3</v>
      </c>
      <c r="G3" s="1">
        <v>55.7</v>
      </c>
      <c r="H3" s="1">
        <v>56.2</v>
      </c>
      <c r="I3" s="1">
        <v>40</v>
      </c>
      <c r="J3" s="1">
        <v>55.7</v>
      </c>
    </row>
    <row r="4" spans="1:10">
      <c r="A4" s="2">
        <v>37.8</v>
      </c>
      <c r="B4" s="2">
        <v>38.3</v>
      </c>
      <c r="C4" s="2">
        <v>38.3</v>
      </c>
      <c r="D4" s="2">
        <v>38.7</v>
      </c>
      <c r="E4" s="2">
        <v>66.7</v>
      </c>
      <c r="F4" s="2">
        <v>51.2</v>
      </c>
      <c r="G4" s="2">
        <v>51</v>
      </c>
      <c r="H4" s="2">
        <v>51.9</v>
      </c>
      <c r="I4" s="2">
        <v>55.1</v>
      </c>
      <c r="J4" s="2">
        <v>51</v>
      </c>
    </row>
    <row r="5" spans="1:10">
      <c r="A5" s="1">
        <v>38.6</v>
      </c>
      <c r="B5" s="1">
        <v>38.9</v>
      </c>
      <c r="C5" s="1">
        <v>38.9</v>
      </c>
      <c r="D5" s="1">
        <v>39.3</v>
      </c>
      <c r="E5" s="1">
        <v>80.3</v>
      </c>
      <c r="F5" s="1">
        <v>52.1</v>
      </c>
      <c r="G5" s="1">
        <v>52.4</v>
      </c>
      <c r="H5" s="1">
        <v>52.7</v>
      </c>
      <c r="I5" s="1">
        <v>60.1</v>
      </c>
      <c r="J5" s="1">
        <v>52.4</v>
      </c>
    </row>
    <row r="6" spans="1:10">
      <c r="A6" s="2">
        <v>40.3</v>
      </c>
      <c r="B6" s="2">
        <v>40.4</v>
      </c>
      <c r="C6" s="2">
        <v>40.4</v>
      </c>
      <c r="D6" s="2">
        <v>41.3</v>
      </c>
      <c r="E6" s="2">
        <v>90.3</v>
      </c>
      <c r="F6" s="2">
        <v>54</v>
      </c>
      <c r="G6" s="2">
        <v>53.9</v>
      </c>
      <c r="H6" s="2">
        <v>54.7</v>
      </c>
      <c r="I6" s="2">
        <v>70.2</v>
      </c>
      <c r="J6" s="2">
        <v>53.9</v>
      </c>
    </row>
    <row r="7" spans="1:10">
      <c r="A7" s="1">
        <v>44.5</v>
      </c>
      <c r="B7" s="1">
        <v>45.1</v>
      </c>
      <c r="C7" s="1">
        <v>45.1</v>
      </c>
      <c r="D7" s="1">
        <v>45.8</v>
      </c>
      <c r="E7" s="1">
        <v>109.7</v>
      </c>
      <c r="F7" s="1">
        <v>58.6</v>
      </c>
      <c r="G7" s="1">
        <v>59.2</v>
      </c>
      <c r="H7" s="1">
        <v>59.4</v>
      </c>
      <c r="I7" s="1">
        <v>90.3</v>
      </c>
      <c r="J7" s="1">
        <v>59.2</v>
      </c>
    </row>
    <row r="8" spans="1:10">
      <c r="A8" s="2">
        <v>47</v>
      </c>
      <c r="B8" s="2">
        <v>47.2</v>
      </c>
      <c r="C8" s="2">
        <v>47.2</v>
      </c>
      <c r="D8" s="2">
        <v>48.5</v>
      </c>
      <c r="E8" s="2">
        <v>121.2</v>
      </c>
      <c r="F8" s="2">
        <v>61.4</v>
      </c>
      <c r="G8" s="2">
        <v>62</v>
      </c>
      <c r="H8" s="2">
        <v>62.3</v>
      </c>
      <c r="I8" s="2">
        <v>100.4</v>
      </c>
      <c r="J8" s="2">
        <v>62</v>
      </c>
    </row>
    <row r="9" spans="1:10">
      <c r="A9" s="1">
        <v>48.7</v>
      </c>
      <c r="B9" s="1">
        <v>49.3</v>
      </c>
      <c r="C9" s="1">
        <v>49.3</v>
      </c>
      <c r="D9" s="1">
        <v>49.9</v>
      </c>
      <c r="E9" s="1">
        <v>139.6</v>
      </c>
      <c r="F9" s="1">
        <v>63.2</v>
      </c>
      <c r="G9" s="1">
        <v>63.1</v>
      </c>
      <c r="H9" s="1">
        <v>63.8</v>
      </c>
      <c r="I9" s="1">
        <v>120.7</v>
      </c>
      <c r="J9" s="1">
        <v>63.1</v>
      </c>
    </row>
    <row r="10" spans="1:10">
      <c r="A10" s="2">
        <v>48.7</v>
      </c>
      <c r="B10" s="2">
        <v>48.9</v>
      </c>
      <c r="C10" s="2">
        <v>48.9</v>
      </c>
      <c r="D10" s="2">
        <v>49.2</v>
      </c>
      <c r="E10" s="2">
        <v>160.3</v>
      </c>
      <c r="F10" s="2">
        <v>63.2</v>
      </c>
      <c r="G10" s="2">
        <v>63.7</v>
      </c>
      <c r="H10" s="2">
        <v>63.9</v>
      </c>
      <c r="I10" s="2">
        <v>140.9</v>
      </c>
      <c r="J10" s="2">
        <v>63.7</v>
      </c>
    </row>
    <row r="11" spans="1:10">
      <c r="A11" s="1">
        <v>48.7</v>
      </c>
      <c r="B11" s="1">
        <v>49.1</v>
      </c>
      <c r="C11" s="1">
        <v>49.1</v>
      </c>
      <c r="D11" s="1">
        <v>49.2</v>
      </c>
      <c r="E11" s="1">
        <v>170.2</v>
      </c>
      <c r="F11" s="1">
        <v>59.3</v>
      </c>
      <c r="G11" s="1">
        <v>59.2</v>
      </c>
      <c r="H11" s="1">
        <v>59.7</v>
      </c>
      <c r="I11" s="1">
        <v>151.2</v>
      </c>
      <c r="J11" s="1">
        <v>59.2</v>
      </c>
    </row>
    <row r="12" spans="1:10">
      <c r="A12" s="2">
        <v>48.7</v>
      </c>
      <c r="B12" s="2">
        <v>49.1</v>
      </c>
      <c r="C12" s="2">
        <v>49.1</v>
      </c>
      <c r="D12" s="2">
        <v>49.2</v>
      </c>
      <c r="E12" s="2">
        <v>170.6</v>
      </c>
      <c r="F12" s="2">
        <v>57</v>
      </c>
      <c r="G12" s="2">
        <v>57.2</v>
      </c>
      <c r="H12" s="2">
        <v>57.3</v>
      </c>
      <c r="I12" s="2">
        <v>151.5</v>
      </c>
      <c r="J12" s="2">
        <v>57.2</v>
      </c>
    </row>
    <row r="13" spans="1:10">
      <c r="A13" s="1">
        <v>48.7</v>
      </c>
      <c r="B13" s="1">
        <v>48.9</v>
      </c>
      <c r="C13" s="1">
        <v>48.9</v>
      </c>
      <c r="D13" s="1">
        <v>49.1</v>
      </c>
      <c r="E13" s="1">
        <v>170.5</v>
      </c>
      <c r="F13" s="1">
        <v>54.5</v>
      </c>
      <c r="G13" s="1">
        <v>54.8</v>
      </c>
      <c r="H13" s="1">
        <v>54.8</v>
      </c>
      <c r="I13" s="1">
        <v>151.9</v>
      </c>
      <c r="J13" s="1">
        <v>54.9</v>
      </c>
    </row>
    <row r="14" spans="1:10">
      <c r="A14" s="2">
        <v>48.7</v>
      </c>
      <c r="B14" s="2">
        <v>48.9</v>
      </c>
      <c r="C14" s="2">
        <v>48.9</v>
      </c>
      <c r="D14" s="2">
        <v>49</v>
      </c>
      <c r="E14" s="2">
        <v>170.4</v>
      </c>
      <c r="F14" s="2">
        <v>54.5</v>
      </c>
      <c r="G14" s="2">
        <v>55</v>
      </c>
      <c r="H14" s="2">
        <v>55</v>
      </c>
      <c r="I14" s="2">
        <v>151.9</v>
      </c>
      <c r="J14" s="2">
        <v>55</v>
      </c>
    </row>
    <row r="15" spans="1:10">
      <c r="A15" s="1">
        <v>48.7</v>
      </c>
      <c r="B15" s="1">
        <v>48.8</v>
      </c>
      <c r="C15" s="1">
        <v>48.8</v>
      </c>
      <c r="D15" s="1">
        <v>49</v>
      </c>
      <c r="E15" s="1">
        <v>170.4</v>
      </c>
      <c r="F15" s="1">
        <v>54.5</v>
      </c>
      <c r="G15" s="1">
        <v>54.8</v>
      </c>
      <c r="H15" s="1">
        <v>54.8</v>
      </c>
      <c r="I15" s="1">
        <v>152.3</v>
      </c>
      <c r="J15" s="1">
        <v>54.9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A1" sqref="$A1:$XFD1"/>
    </sheetView>
  </sheetViews>
  <sheetFormatPr defaultColWidth="8.88888888888889" defaultRowHeight="14.4"/>
  <cols>
    <col min="1" max="2" width="20.8888888888889" customWidth="1"/>
    <col min="3" max="3" width="22" customWidth="1"/>
    <col min="4" max="5" width="20.8888888888889" customWidth="1"/>
    <col min="6" max="6" width="22" customWidth="1"/>
    <col min="7" max="7" width="16.4444444444444" customWidth="1"/>
    <col min="8" max="8" width="11.8888888888889" customWidth="1"/>
    <col min="9" max="9" width="20.8888888888889" customWidth="1"/>
    <col min="10" max="10" width="18.6666666666667" customWidth="1"/>
    <col min="11" max="11" width="20.8888888888889" customWidth="1"/>
    <col min="12" max="12" width="14.1111111111111" customWidth="1"/>
    <col min="13" max="13" width="20.8888888888889" customWidth="1"/>
    <col min="14" max="15" width="18.6666666666667" customWidth="1"/>
  </cols>
  <sheetData>
    <row r="1" spans="1:15">
      <c r="A1" t="s">
        <v>6</v>
      </c>
      <c r="B1" t="s">
        <v>6</v>
      </c>
      <c r="C1" t="s">
        <v>6</v>
      </c>
      <c r="D1" t="s">
        <v>7</v>
      </c>
      <c r="E1" t="s">
        <v>7</v>
      </c>
      <c r="F1" t="s">
        <v>7</v>
      </c>
      <c r="G1" t="s">
        <v>38</v>
      </c>
      <c r="H1" t="s">
        <v>38</v>
      </c>
      <c r="I1" t="s">
        <v>39</v>
      </c>
      <c r="J1" t="s">
        <v>40</v>
      </c>
      <c r="K1" t="s">
        <v>6</v>
      </c>
      <c r="L1" t="s">
        <v>6</v>
      </c>
      <c r="M1" t="s">
        <v>6</v>
      </c>
      <c r="N1" t="s">
        <v>6</v>
      </c>
      <c r="O1" t="s">
        <v>6</v>
      </c>
    </row>
    <row r="2" spans="1:1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</row>
    <row r="3" spans="1:15">
      <c r="A3" s="1">
        <v>60</v>
      </c>
      <c r="B3" s="1">
        <v>61.6</v>
      </c>
      <c r="C3" s="1">
        <v>60.6</v>
      </c>
      <c r="D3" s="1">
        <v>40</v>
      </c>
      <c r="E3" s="1">
        <v>40.8</v>
      </c>
      <c r="F3" s="1">
        <v>37.3</v>
      </c>
      <c r="G3" s="1">
        <v>6</v>
      </c>
      <c r="H3" s="1">
        <v>5.5</v>
      </c>
      <c r="I3" s="1">
        <v>4612</v>
      </c>
      <c r="J3" s="1">
        <v>2.6</v>
      </c>
      <c r="K3" s="1">
        <v>0</v>
      </c>
      <c r="L3" s="1">
        <v>63.4</v>
      </c>
      <c r="M3" s="1">
        <v>56.6</v>
      </c>
      <c r="N3" s="1">
        <v>57.1</v>
      </c>
      <c r="O3" s="1">
        <v>60.6</v>
      </c>
    </row>
    <row r="4" spans="1:15">
      <c r="A4" s="2">
        <v>62</v>
      </c>
      <c r="B4" s="2">
        <v>63.2</v>
      </c>
      <c r="C4" s="2">
        <v>64.6</v>
      </c>
      <c r="D4" s="2">
        <v>55</v>
      </c>
      <c r="E4" s="2">
        <v>54.8</v>
      </c>
      <c r="F4" s="2">
        <v>51.4</v>
      </c>
      <c r="G4" s="2">
        <v>6</v>
      </c>
      <c r="H4" s="2">
        <v>6</v>
      </c>
      <c r="I4" s="2">
        <v>4524</v>
      </c>
      <c r="J4" s="2">
        <v>2.6</v>
      </c>
      <c r="K4" s="2">
        <v>0</v>
      </c>
      <c r="L4" s="2">
        <v>63.5</v>
      </c>
      <c r="M4" s="2">
        <v>55.3</v>
      </c>
      <c r="N4" s="2">
        <v>59.4</v>
      </c>
      <c r="O4" s="2">
        <v>62.4</v>
      </c>
    </row>
    <row r="5" spans="1:15">
      <c r="A5" s="1">
        <v>63</v>
      </c>
      <c r="B5" s="1">
        <v>64.4</v>
      </c>
      <c r="C5" s="1">
        <v>66.3</v>
      </c>
      <c r="D5" s="1">
        <v>60</v>
      </c>
      <c r="E5" s="1">
        <v>59.9</v>
      </c>
      <c r="F5" s="1">
        <v>56.4</v>
      </c>
      <c r="G5" s="1">
        <v>6</v>
      </c>
      <c r="H5" s="1">
        <v>6</v>
      </c>
      <c r="I5" s="1">
        <v>4532</v>
      </c>
      <c r="J5" s="1">
        <v>2.6</v>
      </c>
      <c r="K5" s="1">
        <v>0</v>
      </c>
      <c r="L5" s="1">
        <v>64.7</v>
      </c>
      <c r="M5" s="1">
        <v>62.4</v>
      </c>
      <c r="N5" s="1">
        <v>61.6</v>
      </c>
      <c r="O5" s="1">
        <v>63.2</v>
      </c>
    </row>
    <row r="6" spans="1:15">
      <c r="A6" s="2">
        <v>65</v>
      </c>
      <c r="B6" s="2">
        <v>65.9</v>
      </c>
      <c r="C6" s="2">
        <v>69.3</v>
      </c>
      <c r="D6" s="2">
        <v>70</v>
      </c>
      <c r="E6" s="2">
        <v>70.5</v>
      </c>
      <c r="F6" s="2">
        <v>67.2</v>
      </c>
      <c r="G6" s="2">
        <v>6</v>
      </c>
      <c r="H6" s="2">
        <v>6</v>
      </c>
      <c r="I6" s="2">
        <v>4508</v>
      </c>
      <c r="J6" s="2">
        <v>2.6</v>
      </c>
      <c r="K6" s="2">
        <v>0</v>
      </c>
      <c r="L6" s="2">
        <v>65.3</v>
      </c>
      <c r="M6" s="2">
        <v>65</v>
      </c>
      <c r="N6" s="2">
        <v>64.9</v>
      </c>
      <c r="O6" s="2">
        <v>65.4</v>
      </c>
    </row>
    <row r="7" spans="1:15">
      <c r="A7" s="1">
        <v>70</v>
      </c>
      <c r="B7" s="1">
        <v>70.3</v>
      </c>
      <c r="C7" s="1">
        <v>75.5</v>
      </c>
      <c r="D7" s="1">
        <v>90</v>
      </c>
      <c r="E7" s="1">
        <v>90</v>
      </c>
      <c r="F7" s="1">
        <v>86.9</v>
      </c>
      <c r="G7" s="1">
        <v>6</v>
      </c>
      <c r="H7" s="1">
        <v>6</v>
      </c>
      <c r="I7" s="1">
        <v>4452</v>
      </c>
      <c r="J7" s="1">
        <v>2.6</v>
      </c>
      <c r="K7" s="1">
        <v>0</v>
      </c>
      <c r="L7" s="1">
        <v>70.2</v>
      </c>
      <c r="M7" s="1">
        <v>68.5</v>
      </c>
      <c r="N7" s="1">
        <v>70.8</v>
      </c>
      <c r="O7" s="1">
        <v>70.6</v>
      </c>
    </row>
    <row r="8" spans="1:15">
      <c r="A8" s="2">
        <v>73</v>
      </c>
      <c r="B8" s="2">
        <v>73.2</v>
      </c>
      <c r="C8" s="2">
        <v>79.2</v>
      </c>
      <c r="D8" s="2">
        <v>100</v>
      </c>
      <c r="E8" s="2">
        <v>100.2</v>
      </c>
      <c r="F8" s="2">
        <v>96.8</v>
      </c>
      <c r="G8" s="2">
        <v>6</v>
      </c>
      <c r="H8" s="2">
        <v>6</v>
      </c>
      <c r="I8" s="2">
        <v>4472</v>
      </c>
      <c r="J8" s="2">
        <v>2.6</v>
      </c>
      <c r="K8" s="2">
        <v>0</v>
      </c>
      <c r="L8" s="2">
        <v>73.1</v>
      </c>
      <c r="M8" s="2">
        <v>73.2</v>
      </c>
      <c r="N8" s="2">
        <v>74.3</v>
      </c>
      <c r="O8" s="2">
        <v>73.7</v>
      </c>
    </row>
    <row r="9" spans="1:15">
      <c r="A9" s="1">
        <v>75</v>
      </c>
      <c r="B9" s="1">
        <v>74.5</v>
      </c>
      <c r="C9" s="1">
        <v>82.8</v>
      </c>
      <c r="D9" s="1">
        <v>120</v>
      </c>
      <c r="E9" s="1">
        <v>120</v>
      </c>
      <c r="F9" s="1">
        <v>116.8</v>
      </c>
      <c r="G9" s="1">
        <v>6</v>
      </c>
      <c r="H9" s="1">
        <v>6</v>
      </c>
      <c r="I9" s="1">
        <v>4392</v>
      </c>
      <c r="J9" s="1">
        <v>2.6</v>
      </c>
      <c r="K9" s="1">
        <v>0</v>
      </c>
      <c r="L9" s="1">
        <v>75.6</v>
      </c>
      <c r="M9" s="1">
        <v>59</v>
      </c>
      <c r="N9" s="1">
        <v>76.2</v>
      </c>
      <c r="O9" s="1">
        <v>75.4</v>
      </c>
    </row>
    <row r="10" spans="1:15">
      <c r="A10" s="2">
        <v>75</v>
      </c>
      <c r="B10" s="2">
        <v>75.2</v>
      </c>
      <c r="C10" s="2">
        <v>83.8</v>
      </c>
      <c r="D10" s="2">
        <v>140</v>
      </c>
      <c r="E10" s="2">
        <v>139.9</v>
      </c>
      <c r="F10" s="2">
        <v>136.4</v>
      </c>
      <c r="G10" s="2">
        <v>6.5</v>
      </c>
      <c r="H10" s="2">
        <v>6.5</v>
      </c>
      <c r="I10" s="2">
        <v>4699</v>
      </c>
      <c r="J10" s="2">
        <v>2.6</v>
      </c>
      <c r="K10" s="2">
        <v>0</v>
      </c>
      <c r="L10" s="2">
        <v>76.4</v>
      </c>
      <c r="M10" s="2">
        <v>61.7</v>
      </c>
      <c r="N10" s="2">
        <v>75.3</v>
      </c>
      <c r="O10" s="2">
        <v>74.8</v>
      </c>
    </row>
    <row r="11" spans="1:15">
      <c r="A11" s="1">
        <v>75</v>
      </c>
      <c r="B11" s="1">
        <v>75.9</v>
      </c>
      <c r="C11" s="1">
        <v>85</v>
      </c>
      <c r="D11" s="1">
        <v>150</v>
      </c>
      <c r="E11" s="1">
        <v>149.9</v>
      </c>
      <c r="F11" s="1">
        <v>145.8</v>
      </c>
      <c r="G11" s="1">
        <v>7.5</v>
      </c>
      <c r="H11" s="1">
        <v>7.5</v>
      </c>
      <c r="I11" s="1">
        <v>5221</v>
      </c>
      <c r="J11" s="1">
        <v>2.6</v>
      </c>
      <c r="K11" s="1">
        <v>0</v>
      </c>
      <c r="L11" s="1">
        <v>76</v>
      </c>
      <c r="M11" s="1">
        <v>76.2</v>
      </c>
      <c r="N11" s="1">
        <v>75.3</v>
      </c>
      <c r="O11" s="1">
        <v>74.6</v>
      </c>
    </row>
    <row r="12" spans="1:15">
      <c r="A12" s="2">
        <v>75</v>
      </c>
      <c r="B12" s="2">
        <v>75.8</v>
      </c>
      <c r="C12" s="2">
        <v>85.4</v>
      </c>
      <c r="D12" s="2">
        <v>150</v>
      </c>
      <c r="E12" s="2">
        <v>151.8</v>
      </c>
      <c r="F12" s="2">
        <v>145.7</v>
      </c>
      <c r="G12" s="2">
        <v>10</v>
      </c>
      <c r="H12" s="2">
        <v>9.1</v>
      </c>
      <c r="I12" s="2">
        <v>6832</v>
      </c>
      <c r="J12" s="2">
        <v>2.6</v>
      </c>
      <c r="K12" s="2">
        <v>0</v>
      </c>
      <c r="L12" s="2">
        <v>75.9</v>
      </c>
      <c r="M12" s="2">
        <v>70</v>
      </c>
      <c r="N12" s="2">
        <v>74.4</v>
      </c>
      <c r="O12" s="2">
        <v>74.7</v>
      </c>
    </row>
    <row r="13" spans="1:15">
      <c r="A13" s="1">
        <v>75</v>
      </c>
      <c r="B13" s="1">
        <v>75.9</v>
      </c>
      <c r="C13" s="1">
        <v>85.4</v>
      </c>
      <c r="D13" s="1">
        <v>150</v>
      </c>
      <c r="E13" s="1">
        <v>149.7</v>
      </c>
      <c r="F13" s="1">
        <v>143.9</v>
      </c>
      <c r="G13" s="1">
        <v>10</v>
      </c>
      <c r="H13" s="1">
        <v>10</v>
      </c>
      <c r="I13" s="1">
        <v>6776</v>
      </c>
      <c r="J13" s="1">
        <v>2.6</v>
      </c>
      <c r="K13" s="1">
        <v>0</v>
      </c>
      <c r="L13" s="1">
        <v>75.9</v>
      </c>
      <c r="M13" s="1">
        <v>67.3</v>
      </c>
      <c r="N13" s="1">
        <v>74.6</v>
      </c>
      <c r="O13" s="1">
        <v>74.2</v>
      </c>
    </row>
    <row r="14" spans="1:15">
      <c r="A14" s="2">
        <v>75</v>
      </c>
      <c r="B14" s="2">
        <v>75.7</v>
      </c>
      <c r="C14" s="2">
        <v>85</v>
      </c>
      <c r="D14" s="2">
        <v>150</v>
      </c>
      <c r="E14" s="2">
        <v>149.8</v>
      </c>
      <c r="F14" s="2">
        <v>143</v>
      </c>
      <c r="G14" s="2">
        <v>11</v>
      </c>
      <c r="H14" s="2">
        <v>11.1</v>
      </c>
      <c r="I14" s="2">
        <v>7302</v>
      </c>
      <c r="J14" s="2">
        <v>2.6</v>
      </c>
      <c r="K14" s="2">
        <v>0</v>
      </c>
      <c r="L14" s="2">
        <v>76.2</v>
      </c>
      <c r="M14" s="2">
        <v>77.8</v>
      </c>
      <c r="N14" s="2">
        <v>75.1</v>
      </c>
      <c r="O14" s="2">
        <v>74.5</v>
      </c>
    </row>
    <row r="15" spans="1:15">
      <c r="A15" s="1">
        <v>75</v>
      </c>
      <c r="B15" s="1">
        <v>75.8</v>
      </c>
      <c r="C15" s="1">
        <v>85.2</v>
      </c>
      <c r="D15" s="1">
        <v>150</v>
      </c>
      <c r="E15" s="1">
        <v>149.9</v>
      </c>
      <c r="F15" s="1">
        <v>142.8</v>
      </c>
      <c r="G15" s="1">
        <v>11.5</v>
      </c>
      <c r="H15" s="1">
        <v>11.5</v>
      </c>
      <c r="I15" s="1">
        <v>7601</v>
      </c>
      <c r="J15" s="1">
        <v>2.6</v>
      </c>
      <c r="K15" s="1">
        <v>0</v>
      </c>
      <c r="L15" s="1">
        <v>75.5</v>
      </c>
      <c r="M15" s="1">
        <v>71.5</v>
      </c>
      <c r="N15" s="1">
        <v>75.1</v>
      </c>
      <c r="O15" s="1">
        <v>75.1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1" sqref="H$1:H$1048576"/>
    </sheetView>
  </sheetViews>
  <sheetFormatPr defaultColWidth="8.88888888888889" defaultRowHeight="14.4" outlineLevelCol="7"/>
  <cols>
    <col min="1" max="1" width="16.4444444444444" customWidth="1"/>
    <col min="2" max="2" width="15.2222222222222" customWidth="1"/>
    <col min="3" max="3" width="16.4444444444444" customWidth="1"/>
    <col min="4" max="4" width="15.2222222222222" customWidth="1"/>
    <col min="5" max="5" width="16.4444444444444" customWidth="1"/>
    <col min="6" max="6" width="16.4444444444444" customWidth="1"/>
    <col min="7" max="8" width="16.4444444444444" customWidth="1"/>
  </cols>
  <sheetData>
    <row r="1" spans="1:8">
      <c r="A1" t="s">
        <v>56</v>
      </c>
      <c r="B1" t="s">
        <v>56</v>
      </c>
      <c r="C1" t="s">
        <v>56</v>
      </c>
      <c r="D1" t="s">
        <v>56</v>
      </c>
      <c r="E1" t="s">
        <v>6</v>
      </c>
      <c r="F1" t="s">
        <v>7</v>
      </c>
      <c r="G1" t="s">
        <v>6</v>
      </c>
      <c r="H1" t="s">
        <v>7</v>
      </c>
    </row>
    <row r="2" spans="1:8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</row>
    <row r="3" spans="1:8">
      <c r="A3" s="1">
        <v>21.5</v>
      </c>
      <c r="B3" s="1">
        <v>21.5</v>
      </c>
      <c r="C3" s="1">
        <v>50.5</v>
      </c>
      <c r="D3" s="1">
        <v>49.7</v>
      </c>
      <c r="E3" s="1">
        <v>60</v>
      </c>
      <c r="F3" s="1">
        <v>50</v>
      </c>
      <c r="G3" s="1">
        <v>60</v>
      </c>
      <c r="H3" s="1">
        <v>40</v>
      </c>
    </row>
    <row r="4" spans="1:8">
      <c r="A4" s="2">
        <v>25.5</v>
      </c>
      <c r="B4" s="2">
        <v>25.2</v>
      </c>
      <c r="C4" s="2">
        <v>73</v>
      </c>
      <c r="D4" s="2">
        <v>71.8</v>
      </c>
      <c r="E4" s="2">
        <v>62</v>
      </c>
      <c r="F4" s="2">
        <v>70</v>
      </c>
      <c r="G4" s="2">
        <v>62</v>
      </c>
      <c r="H4" s="2">
        <v>55</v>
      </c>
    </row>
    <row r="5" spans="1:8">
      <c r="A5" s="1">
        <v>34.5</v>
      </c>
      <c r="B5" s="1">
        <v>34.3</v>
      </c>
      <c r="C5" s="1">
        <v>91</v>
      </c>
      <c r="D5" s="1">
        <v>90.2</v>
      </c>
      <c r="E5" s="1">
        <v>63</v>
      </c>
      <c r="F5" s="1">
        <v>80</v>
      </c>
      <c r="G5" s="1">
        <v>63</v>
      </c>
      <c r="H5" s="1">
        <v>60</v>
      </c>
    </row>
    <row r="6" spans="1:8">
      <c r="A6" s="2">
        <v>42.5</v>
      </c>
      <c r="B6" s="2">
        <v>42.3</v>
      </c>
      <c r="C6" s="2">
        <v>97</v>
      </c>
      <c r="D6" s="2">
        <v>96.6</v>
      </c>
      <c r="E6" s="2">
        <v>65</v>
      </c>
      <c r="F6" s="2">
        <v>90</v>
      </c>
      <c r="G6" s="2">
        <v>65</v>
      </c>
      <c r="H6" s="2">
        <v>70</v>
      </c>
    </row>
    <row r="7" spans="1:8">
      <c r="A7" s="1">
        <v>45.8</v>
      </c>
      <c r="B7" s="1">
        <v>45.6</v>
      </c>
      <c r="C7" s="1">
        <v>121</v>
      </c>
      <c r="D7" s="1">
        <v>120.4</v>
      </c>
      <c r="E7" s="1">
        <v>70</v>
      </c>
      <c r="F7" s="1">
        <v>110</v>
      </c>
      <c r="G7" s="1">
        <v>70</v>
      </c>
      <c r="H7" s="1">
        <v>90</v>
      </c>
    </row>
    <row r="8" spans="1:8">
      <c r="A8" s="2">
        <v>51</v>
      </c>
      <c r="B8" s="2">
        <v>50.9</v>
      </c>
      <c r="C8" s="2">
        <v>134</v>
      </c>
      <c r="D8" s="2">
        <v>133.1</v>
      </c>
      <c r="E8" s="2">
        <v>73</v>
      </c>
      <c r="F8" s="2">
        <v>120</v>
      </c>
      <c r="G8" s="2">
        <v>73</v>
      </c>
      <c r="H8" s="2">
        <v>100</v>
      </c>
    </row>
    <row r="9" spans="1:8">
      <c r="A9" s="1">
        <v>57.5</v>
      </c>
      <c r="B9" s="1">
        <v>57.5</v>
      </c>
      <c r="C9" s="1">
        <v>164</v>
      </c>
      <c r="D9" s="1">
        <v>163.1</v>
      </c>
      <c r="E9" s="1">
        <v>75</v>
      </c>
      <c r="F9" s="1">
        <v>140</v>
      </c>
      <c r="G9" s="1">
        <v>75</v>
      </c>
      <c r="H9" s="1">
        <v>120</v>
      </c>
    </row>
    <row r="10" spans="1:8">
      <c r="A10" s="2">
        <v>71</v>
      </c>
      <c r="B10" s="2">
        <v>71</v>
      </c>
      <c r="C10" s="2">
        <v>200</v>
      </c>
      <c r="D10" s="2">
        <v>199.4</v>
      </c>
      <c r="E10" s="2">
        <v>75</v>
      </c>
      <c r="F10" s="2">
        <v>160</v>
      </c>
      <c r="G10" s="2">
        <v>75</v>
      </c>
      <c r="H10" s="2">
        <v>140</v>
      </c>
    </row>
    <row r="11" spans="1:8">
      <c r="A11" s="1">
        <v>83</v>
      </c>
      <c r="B11" s="1">
        <v>82.8</v>
      </c>
      <c r="C11" s="1">
        <v>236</v>
      </c>
      <c r="D11" s="1">
        <v>235.1</v>
      </c>
      <c r="E11" s="1">
        <v>75</v>
      </c>
      <c r="F11" s="1">
        <v>170</v>
      </c>
      <c r="G11" s="1">
        <v>75</v>
      </c>
      <c r="H11" s="1">
        <v>150</v>
      </c>
    </row>
    <row r="12" spans="1:8">
      <c r="A12" s="2">
        <v>96</v>
      </c>
      <c r="B12" s="2">
        <v>96</v>
      </c>
      <c r="C12" s="2">
        <v>272</v>
      </c>
      <c r="D12" s="2">
        <v>271.6</v>
      </c>
      <c r="E12" s="2">
        <v>75</v>
      </c>
      <c r="F12" s="2">
        <v>170</v>
      </c>
      <c r="G12" s="2">
        <v>75</v>
      </c>
      <c r="H12" s="2">
        <v>150</v>
      </c>
    </row>
    <row r="13" spans="1:8">
      <c r="A13" s="1">
        <v>109</v>
      </c>
      <c r="B13" s="1">
        <v>108.9</v>
      </c>
      <c r="C13" s="1">
        <v>309</v>
      </c>
      <c r="D13" s="1">
        <v>308.8</v>
      </c>
      <c r="E13" s="1">
        <v>75</v>
      </c>
      <c r="F13" s="1">
        <v>170</v>
      </c>
      <c r="G13" s="1">
        <v>75</v>
      </c>
      <c r="H13" s="1">
        <v>150</v>
      </c>
    </row>
    <row r="14" spans="1:8">
      <c r="A14" s="2">
        <v>115</v>
      </c>
      <c r="B14" s="2">
        <v>114.9</v>
      </c>
      <c r="C14" s="2">
        <v>327</v>
      </c>
      <c r="D14" s="2">
        <v>326.2</v>
      </c>
      <c r="E14" s="2">
        <v>75</v>
      </c>
      <c r="F14" s="2">
        <v>170</v>
      </c>
      <c r="G14" s="2">
        <v>75</v>
      </c>
      <c r="H14" s="2">
        <v>150</v>
      </c>
    </row>
    <row r="15" spans="1:8">
      <c r="A15" s="1">
        <v>122</v>
      </c>
      <c r="B15" s="1">
        <v>121.9</v>
      </c>
      <c r="C15" s="1">
        <v>345</v>
      </c>
      <c r="D15" s="1">
        <v>344.4</v>
      </c>
      <c r="E15" s="1">
        <v>75</v>
      </c>
      <c r="F15" s="1">
        <v>170</v>
      </c>
      <c r="G15" s="1">
        <v>75</v>
      </c>
      <c r="H15" s="1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WPS_1632448344</cp:lastModifiedBy>
  <dcterms:created xsi:type="dcterms:W3CDTF">2026-05-19T08:26:00Z</dcterms:created>
  <dcterms:modified xsi:type="dcterms:W3CDTF">2026-05-20T08:07:13Z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A5447A01EDA54DA498BAFB3DEB03F115_11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